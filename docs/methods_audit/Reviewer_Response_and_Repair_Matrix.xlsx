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d8869d28cf04fc7" /></Relationships>
</file>

<file path=xl/workbook.xml><?xml version="1.0" encoding="utf-8"?>
<x:workbook xmlns:x="http://schemas.openxmlformats.org/spreadsheetml/2006/main">
  <x:sheets>
    <x:sheet xmlns:r="http://schemas.openxmlformats.org/officeDocument/2006/relationships" name="Summary" sheetId="1" r:id="Raab57992eef045b8"/>
    <x:sheet xmlns:r="http://schemas.openxmlformats.org/officeDocument/2006/relationships" name="Reviewer Issues" sheetId="2" r:id="R53f67ed3466d4955"/>
    <x:sheet xmlns:r="http://schemas.openxmlformats.org/officeDocument/2006/relationships" name="Panel Audit" sheetId="3" r:id="R13c5a3c709e541af"/>
    <x:sheet xmlns:r="http://schemas.openxmlformats.org/officeDocument/2006/relationships" name="Repair Actions" sheetId="4" r:id="R3e1300123c9a4983"/>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17"/>
      <x:color rgb="FFFFFFFF"/>
      <x:name val="Carlito"/>
    </x:font>
    <x:font>
      <x:i/>
      <x:sz val="9"/>
      <x:color rgb="FF5B6573"/>
      <x:name val="Carlito"/>
    </x:font>
    <x:font>
      <x:b/>
      <x:sz val="11"/>
      <x:color rgb="FF1F2933"/>
      <x:name val="Carlito"/>
    </x:font>
    <x:font>
      <x:sz val="11"/>
      <x:color rgb="FF1F2933"/>
      <x:name val="Carlito"/>
    </x:font>
    <x:font>
      <x:b/>
      <x:sz val="15"/>
      <x:color rgb="FFFFFFFF"/>
      <x:name val="Carlito"/>
    </x:font>
    <x:font>
      <x:b/>
      <x:sz val="9"/>
      <x:color rgb="FF1F2933"/>
      <x:name val="Carlito"/>
    </x:font>
    <x:font>
      <x:sz val="9"/>
      <x:color rgb="FF1F2933"/>
      <x:name val="Carlito"/>
    </x:font>
  </x:fonts>
  <x:fills count="7">
    <x:fill>
      <x:patternFill patternType="none"/>
    </x:fill>
    <x:fill>
      <x:patternFill patternType="gray125"/>
    </x:fill>
    <x:fill>
      <x:patternFill patternType="solid">
        <x:fgColor rgb="FF17365D"/>
      </x:patternFill>
    </x:fill>
    <x:fill>
      <x:patternFill patternType="solid">
        <x:fgColor rgb="FFF5F7FA"/>
      </x:patternFill>
    </x:fill>
    <x:fill>
      <x:patternFill patternType="solid">
        <x:fgColor rgb="FFDCE6F1"/>
      </x:patternFill>
    </x:fill>
    <x:fill>
      <x:patternFill patternType="solid">
        <x:fgColor rgb="FFFFF2CC"/>
      </x:patternFill>
    </x:fill>
    <x:fill>
      <x:patternFill patternType="solid">
        <x:fgColor rgb="FFFFF9E6"/>
      </x:patternFill>
    </x:fill>
  </x:fills>
  <x:borders count="9">
    <x:border/>
    <x:border>
      <x:bottom style="thin">
        <x:color rgb="FFD7DEE7"/>
      </x:bottom>
    </x:border>
    <x:border>
      <x:top style="thin">
        <x:color rgb="FFD7DEE7"/>
      </x:top>
      <x:bottom style="thin">
        <x:color rgb="FFD7DEE7"/>
      </x:bottom>
    </x:border>
    <x:border>
      <x:top style="thin">
        <x:color rgb="FFD7DEE7"/>
      </x:top>
    </x:border>
    <x:border>
      <x:left style="thin">
        <x:color rgb="FFD7DEE7"/>
      </x:left>
      <x:top style="thin">
        <x:color rgb="FFD7DEE7"/>
      </x:top>
      <x:bottom style="thin">
        <x:color rgb="FFD7DEE7"/>
      </x:bottom>
    </x:border>
    <x:border>
      <x:right style="thin">
        <x:color rgb="FFD7DEE7"/>
      </x:right>
      <x:top style="thin">
        <x:color rgb="FFD7DEE7"/>
      </x:top>
      <x:bottom style="thin">
        <x:color rgb="FFD7DEE7"/>
      </x:bottom>
    </x:border>
    <x:border>
      <x:bottom style="thin">
        <x:color rgb="FFE7EBF0"/>
      </x:bottom>
    </x:border>
    <x:border>
      <x:top style="thin">
        <x:color rgb="FFE7EBF0"/>
      </x:top>
      <x:bottom style="thin">
        <x:color rgb="FFE7EBF0"/>
      </x:bottom>
    </x:border>
    <x:border>
      <x:top style="thin">
        <x:color rgb="FFE7EBF0"/>
      </x:top>
    </x:border>
  </x:borders>
  <x:cellStyleXfs count="1">
    <x:xf numFmtId="0" fontId="0" fillId="0" borderId="0"/>
  </x:cellStyleXfs>
  <x:cellXfs count="4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4" fillId="0" borderId="0"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0" fontId="0" fillId="5" borderId="0" xfId="0" applyNumberFormat="1" applyFont="1" applyFill="1" applyBorder="1"/>
    <x:xf numFmtId="0" fontId="3" fillId="5" borderId="0" xfId="0" applyNumberFormat="1" applyFont="1" applyFill="1" applyBorder="1"/>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wrapText="1"/>
    </x:xf>
    <x:xf numFmtId="0" fontId="4" fillId="6" borderId="0" xfId="0" applyNumberFormat="1" applyFont="1" applyFill="1" applyBorder="1" applyAlignment="1">
      <x:alignment vertical="center" wrapText="1"/>
    </x:xf>
    <x:xf numFmtId="0" fontId="5" fillId="2" borderId="0" xfId="0" applyNumberFormat="1" applyFont="1" applyFill="1" applyBorder="1"/>
    <x:xf numFmtId="0" fontId="5" fillId="2" borderId="0" xfId="0" applyNumberFormat="1" applyFont="1" applyFill="1" applyBorder="1" applyAlignment="1">
      <x:alignment vertical="center"/>
    </x:xf>
    <x:xf numFmtId="0" fontId="2" fillId="3" borderId="0" xfId="0" applyNumberFormat="1" applyFont="1" applyFill="1" applyBorder="1" applyAlignment="1">
      <x:alignment vertical="center" wrapText="1"/>
    </x:xf>
    <x:xf numFmtId="0" fontId="6" fillId="4" borderId="0" xfId="0" applyNumberFormat="1" applyFont="1" applyFill="1" applyBorder="1"/>
    <x:xf numFmtId="0" fontId="6" fillId="4" borderId="4" xfId="0" applyNumberFormat="1" applyFont="1" applyFill="1" applyBorder="1"/>
    <x:xf numFmtId="0" fontId="6" fillId="4" borderId="2" xfId="0" applyNumberFormat="1" applyFont="1" applyFill="1" applyBorder="1"/>
    <x:xf numFmtId="0" fontId="6" fillId="4" borderId="5" xfId="0" applyNumberFormat="1" applyFont="1" applyFill="1" applyBorder="1"/>
    <x:xf numFmtId="0" fontId="6" fillId="4" borderId="4" xfId="0" applyNumberFormat="1" applyFont="1" applyFill="1" applyBorder="1" applyAlignment="1">
      <x:alignment wrapText="1"/>
    </x:xf>
    <x:xf numFmtId="0" fontId="6" fillId="4" borderId="2"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4" xfId="0" applyNumberFormat="1" applyFont="1" applyFill="1" applyBorder="1" applyAlignment="1">
      <x:alignment vertical="center" wrapText="1"/>
    </x:xf>
    <x:xf numFmtId="0" fontId="6" fillId="4" borderId="2" xfId="0" applyNumberFormat="1" applyFont="1" applyFill="1" applyBorder="1" applyAlignment="1">
      <x:alignment vertical="center" wrapText="1"/>
    </x:xf>
    <x:xf numFmtId="0" fontId="6" fillId="4" borderId="5" xfId="0" applyNumberFormat="1" applyFont="1" applyFill="1" applyBorder="1" applyAlignment="1">
      <x:alignment vertical="center" wrapText="1"/>
    </x:xf>
    <x:xf numFmtId="0" fontId="7" fillId="0" borderId="0"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8" xfId="0" applyNumberFormat="1" applyFont="1" applyFill="1" applyBorder="1"/>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8" xfId="0" applyNumberFormat="1" applyFont="1" applyFill="1" applyBorder="1" applyAlignment="1">
      <x:alignment wrapText="1"/>
    </x:xf>
    <x:xf numFmtId="0" fontId="7" fillId="0" borderId="6" xfId="0" applyNumberFormat="1" applyFont="1" applyFill="1" applyBorder="1" applyAlignment="1">
      <x:alignment vertical="center" wrapText="1"/>
    </x:xf>
    <x:xf numFmtId="0" fontId="7" fillId="0" borderId="7" xfId="0" applyNumberFormat="1" applyFont="1" applyFill="1" applyBorder="1" applyAlignment="1">
      <x:alignment vertical="center" wrapText="1"/>
    </x:xf>
    <x:xf numFmtId="0" fontId="7" fillId="0" borderId="8"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be608d5a82f4f60" /><Relationship Type="http://schemas.openxmlformats.org/officeDocument/2006/relationships/theme" Target="/xl/theme/theme1.xml" Id="Rf288f6eb4c074ed4" /><Relationship Type="http://schemas.openxmlformats.org/officeDocument/2006/relationships/sharedStrings" Target="/xl/sharedStrings.xml" Id="R8b2c29a32383404d" /><Relationship Type="http://schemas.openxmlformats.org/officeDocument/2006/relationships/worksheet" Target="/xl/worksheets/sheet1.xml" Id="Raab57992eef045b8" /><Relationship Type="http://schemas.openxmlformats.org/officeDocument/2006/relationships/worksheet" Target="/xl/worksheets/sheet2.xml" Id="R53f67ed3466d4955" /><Relationship Type="http://schemas.openxmlformats.org/officeDocument/2006/relationships/worksheet" Target="/xl/worksheets/sheet3.xml" Id="R13c5a3c709e541af" /><Relationship Type="http://schemas.openxmlformats.org/officeDocument/2006/relationships/worksheet" Target="/xl/worksheets/sheet4.xml" Id="R3e1300123c9a498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8" hidden="0" customWidth="1"/>
    <x:col min="2" max="2" width="18" hidden="0" customWidth="1"/>
    <x:col min="3" max="3" width="18" hidden="0" customWidth="1"/>
    <x:col min="4" max="4" width="18" hidden="0" customWidth="1"/>
    <x:col min="5" max="5" width="18" hidden="0" customWidth="1"/>
    <x:col min="6" max="6" width="18" hidden="0" customWidth="1"/>
  </x:cols>
  <x:sheetData>
    <x:row r="1" ht="34" customHeight="1">
      <x:c r="A1" s="3" t="str">
        <x:v>npjSBA Rejection Recovery Control Sheet</x:v>
      </x:c>
      <x:c r="B1" s="3"/>
      <x:c r="C1" s="3"/>
      <x:c r="D1" s="3"/>
      <x:c r="E1" s="3"/>
      <x:c r="F1" s="3"/>
    </x:row>
    <x:row r="2" ht="32" customHeight="1">
      <x:c r="A2" s="6" t="str">
        <x:v>Frozen 2026-08-27 from the submitted manuscript, reviewer report, local analysis scripts, derived outputs, and release-candidate repository.</x:v>
      </x:c>
      <x:c r="B2" s="6"/>
      <x:c r="C2" s="6"/>
      <x:c r="D2" s="6"/>
      <x:c r="E2" s="6"/>
      <x:c r="F2" s="6"/>
    </x:row>
    <x:row r="4">
      <x:c r="A4" s="8" t="str">
        <x:v>Control metric</x:v>
      </x:c>
      <x:c r="B4" s="8" t="str">
        <x:v>Value</x:v>
      </x:c>
    </x:row>
    <x:row r="5">
      <x:c r="A5" s="10" t="str">
        <x:v>Reviewer issues</x:v>
      </x:c>
      <x:c r="B5" s="10" t="n">
        <x:f>COUNTA('Reviewer Issues'!A5:A20)</x:f>
        <x:v>3</x:v>
      </x:c>
    </x:row>
    <x:row r="6">
      <x:c r="A6" s="11" t="str">
        <x:v>Panel groups audited</x:v>
      </x:c>
      <x:c r="B6" s="11" t="n">
        <x:f>COUNTA('Panel Audit'!A5:A100)</x:f>
        <x:v>22</x:v>
      </x:c>
    </x:row>
    <x:row r="7">
      <x:c r="A7" s="12" t="str">
        <x:v>Critical actions</x:v>
      </x:c>
      <x:c r="B7" s="12" t="n">
        <x:f>COUNTIF('Repair Actions'!B5:B50,"Critical")</x:f>
        <x:v>8</x:v>
      </x:c>
    </x:row>
    <x:row r="9">
      <x:c r="A9" s="14" t="str">
        <x:v>Primary conclusion</x:v>
      </x:c>
      <x:c r="B9" s="14"/>
      <x:c r="C9" s="14"/>
      <x:c r="D9" s="14"/>
      <x:c r="E9" s="14"/>
      <x:c r="F9" s="14"/>
    </x:row>
    <x:row r="10">
      <x:c r="A10" s="18" t="str">
        <x:v>The rejection is repairable because the core numerical outputs and most analysis scripts exist locally. Resubmission requires a methods-first rebuild, a functioning public repository, and removal of visual or verbal claims that exceed the fitted models. Language editing comes after those facts are frozen.</x:v>
      </x:c>
      <x:c r="B10" s="18"/>
      <x:c r="C10" s="18"/>
      <x:c r="D10" s="18"/>
      <x:c r="E10" s="18"/>
      <x:c r="F10" s="18"/>
    </x:row>
    <x:row r="11">
      <x:c r="A11" s="18"/>
      <x:c r="B11" s="18"/>
      <x:c r="C11" s="18"/>
      <x:c r="D11" s="18"/>
      <x:c r="E11" s="18"/>
      <x:c r="F11" s="18"/>
    </x:row>
    <x:row r="12">
      <x:c r="A12" s="18"/>
      <x:c r="B12" s="18"/>
      <x:c r="C12" s="18"/>
      <x:c r="D12" s="18"/>
      <x:c r="E12" s="18"/>
      <x:c r="F12" s="18"/>
    </x:row>
  </x:sheetData>
  <x:mergeCells>
    <x:mergeCell ref="A1:F1"/>
    <x:mergeCell ref="A2:F2"/>
    <x:mergeCell ref="A9:F9"/>
    <x:mergeCell ref="A10:F1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 hidden="0" customWidth="1"/>
    <x:col min="2" max="2" width="48" hidden="0" customWidth="1"/>
    <x:col min="3" max="3" width="48" hidden="0" customWidth="1"/>
    <x:col min="4" max="4" width="48" hidden="0" customWidth="1"/>
    <x:col min="5" max="5" width="48" hidden="0" customWidth="1"/>
    <x:col min="6" max="6" width="11" hidden="0" customWidth="1"/>
    <x:col min="7" max="7" width="19.799999237060547" hidden="0" customWidth="1"/>
  </x:cols>
  <x:sheetData>
    <x:row r="1" ht="30" customHeight="1">
      <x:c r="A1" s="20" t="str">
        <x:v>Reviewer Comment Audit</x:v>
      </x:c>
      <x:c r="B1" s="20"/>
      <x:c r="C1" s="20"/>
      <x:c r="D1" s="20"/>
      <x:c r="E1" s="20"/>
      <x:c r="F1" s="20"/>
      <x:c r="G1" s="20"/>
    </x:row>
    <x:row r="2" ht="30" customHeight="1">
      <x:c r="A2" s="21" t="str">
        <x:v>Exact reviewer concern, verified cause, evidence, and planned correction</x:v>
      </x:c>
      <x:c r="B2" s="21"/>
      <x:c r="C2" s="21"/>
      <x:c r="D2" s="21"/>
      <x:c r="E2" s="21"/>
      <x:c r="F2" s="21"/>
      <x:c r="G2" s="21"/>
    </x:row>
    <x:row r="4" ht="15" hidden="0" customHeight="1">
      <x:c r="A4" s="29" t="str">
        <x:v>issue_id</x:v>
      </x:c>
      <x:c r="B4" s="30" t="str">
        <x:v>reviewer_comment</x:v>
      </x:c>
      <x:c r="C4" s="30" t="str">
        <x:v>verified_cause</x:v>
      </x:c>
      <x:c r="D4" s="30" t="str">
        <x:v>repair</x:v>
      </x:c>
      <x:c r="E4" s="30" t="str">
        <x:v>evidence</x:v>
      </x:c>
      <x:c r="F4" s="30" t="str">
        <x:v>priority</x:v>
      </x:c>
      <x:c r="G4" s="31" t="str">
        <x:v>status</x:v>
      </x:c>
    </x:row>
    <x:row r="5" ht="32.400001525878906" hidden="0" customHeight="1">
      <x:c r="A5" s="39" t="str">
        <x:v>R1-METHODS</x:v>
      </x:c>
      <x:c r="B5" s="39" t="str">
        <x:v>Methods are insufficiently described, leaving figures uninterpretable; Fig. 1F and Fig. 2A were named as examples and the problem was judged to persist throughout the manuscript.</x:v>
      </x:c>
      <x:c r="C5" s="39" t="str">
        <x:v>Core methods exist in the manuscript and workspace, but captions omit plotted quantities, biological units, thresholds, uncertainty, and exact analysis links. Several visual labels introduce undefined secondary constructs.</x:v>
      </x:c>
      <x:c r="D5" s="39" t="str">
        <x:v>Replace all seven captions with panel-level legends; add a figure-provenance table; cross-reference each panel to the exact Methods subsection, script, and source output.</x:v>
      </x:c>
      <x:c r="E5" s="39" t="str">
        <x:v>Reviewer PDF; submitted manuscript paragraphs 48-124 and 192-198; current figures 1-7.</x:v>
      </x:c>
      <x:c r="F5" s="39" t="str">
        <x:v>Critical</x:v>
      </x:c>
      <x:c r="G5" s="39" t="str">
        <x:v>In progress</x:v>
      </x:c>
    </x:row>
    <x:row r="6" ht="32.400001525878906" hidden="0" customHeight="1">
      <x:c r="A6" s="40" t="str">
        <x:v>R2-CODE</x:v>
      </x:c>
      <x:c r="B6" s="40" t="str">
        <x:v>The GitHub link was invalid and the accessible Zenodo record contained no analysis scripts.</x:v>
      </x:c>
      <x:c r="C6" s="40" t="str">
        <x:v>A technically validated local public package exists, but the submitted links did not expose that package. The current release candidate contains eight Python scripts and derived data, although several scripts still require path remapping.</x:v>
      </x:c>
      <x:c r="D6" s="40" t="str">
        <x:v>Create a new versioned repository release with runnable entry points, environment lock, figure-source map, immutable archive, SHA-256 manifest, and a tested public URL before resubmission.</x:v>
      </x:c>
      <x:c r="E6" s="40" t="str">
        <x:v>Submitted Code Availability statement; local v1.1.0-rc1 release; release validator PASS 20/20.</x:v>
      </x:c>
      <x:c r="F6" s="40" t="str">
        <x:v>Critical</x:v>
      </x:c>
      <x:c r="G6" s="40" t="str">
        <x:v>In progress</x:v>
      </x:c>
    </x:row>
    <x:row r="7" ht="32.400001525878906" hidden="0" customHeight="1">
      <x:c r="A7" s="41" t="str">
        <x:v>R3-LANGUAGE</x:v>
      </x:c>
      <x:c r="B7" s="41" t="str">
        <x:v>Sentence structure appeared AI-dependent and reduced readability.</x:v>
      </x:c>
      <x:c r="C7" s="41" t="str">
        <x:v>Short declarative sentences are repeated mechanically, abstract labels recur without local definitions, and caveats are separated from the claims they qualify.</x:v>
      </x:c>
      <x:c r="D7" s="41" t="str">
        <x:v>Perform a human-style scientific rewrite after methods are frozen: vary sentence structure, name data and operations directly, remove branding language, and retain a factual AI-use disclosure.</x:v>
      </x:c>
      <x:c r="E7" s="41" t="str">
        <x:v>Reviewer PDF and submitted manuscript.</x:v>
      </x:c>
      <x:c r="F7" s="41" t="str">
        <x:v>High</x:v>
      </x:c>
      <x:c r="G7" s="41" t="str">
        <x:v>Pending methods freeze</x:v>
      </x:c>
    </x:row>
  </x:sheetData>
  <x:mergeCells>
    <x:mergeCell ref="A1:G1"/>
    <x:mergeCell ref="A2:G2"/>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1" hidden="0" customWidth="1"/>
    <x:col min="2" max="2" width="22" hidden="0" customWidth="1"/>
    <x:col min="3" max="3" width="22" hidden="0" customWidth="1"/>
    <x:col min="4" max="4" width="48" hidden="0" customWidth="1"/>
    <x:col min="5" max="5" width="48" hidden="0" customWidth="1"/>
    <x:col min="6" max="6" width="48" hidden="0" customWidth="1"/>
    <x:col min="7" max="7" width="22" hidden="0" customWidth="1"/>
    <x:col min="8" max="8" width="48" hidden="0" customWidth="1"/>
    <x:col min="9" max="9" width="48" hidden="0" customWidth="1"/>
    <x:col min="10" max="10" width="48" hidden="0" customWidth="1"/>
    <x:col min="11" max="11" width="48" hidden="0" customWidth="1"/>
    <x:col min="12" max="12" width="11" hidden="0" customWidth="1"/>
  </x:cols>
  <x:sheetData>
    <x:row r="1" ht="30" customHeight="1">
      <x:c r="A1" s="20" t="str">
        <x:v>Main-Figure Panel Reproducibility Audit</x:v>
      </x:c>
      <x:c r="B1" s="20"/>
      <x:c r="C1" s="20"/>
      <x:c r="D1" s="20"/>
      <x:c r="E1" s="20"/>
      <x:c r="F1" s="20"/>
      <x:c r="G1" s="20"/>
      <x:c r="H1" s="20"/>
      <x:c r="I1" s="20"/>
      <x:c r="J1" s="20"/>
      <x:c r="K1" s="20"/>
      <x:c r="L1" s="20"/>
    </x:row>
    <x:row r="2" ht="30" customHeight="1">
      <x:c r="A2" s="21" t="str">
        <x:v>Current seven-figure assembly; verified methods and risk decisions</x:v>
      </x:c>
      <x:c r="B2" s="21"/>
      <x:c r="C2" s="21"/>
      <x:c r="D2" s="21"/>
      <x:c r="E2" s="21"/>
      <x:c r="F2" s="21"/>
      <x:c r="G2" s="21"/>
      <x:c r="H2" s="21"/>
      <x:c r="I2" s="21"/>
      <x:c r="J2" s="21"/>
      <x:c r="K2" s="21"/>
      <x:c r="L2" s="21"/>
    </x:row>
    <x:row r="4" ht="15" hidden="0" customHeight="1">
      <x:c r="A4" s="29" t="str">
        <x:v>panel</x:v>
      </x:c>
      <x:c r="B4" s="30" t="str">
        <x:v>dataset</x:v>
      </x:c>
      <x:c r="C4" s="30" t="str">
        <x:v>biological_unit</x:v>
      </x:c>
      <x:c r="D4" s="30" t="str">
        <x:v>n_and_events</x:v>
      </x:c>
      <x:c r="E4" s="30" t="str">
        <x:v>plotted_quantity</x:v>
      </x:c>
      <x:c r="F4" s="30" t="str">
        <x:v>exact_method_or_formula</x:v>
      </x:c>
      <x:c r="G4" s="30" t="str">
        <x:v>uncertainty_or_test</x:v>
      </x:c>
      <x:c r="H4" s="30" t="str">
        <x:v>exact_script</x:v>
      </x:c>
      <x:c r="I4" s="30" t="str">
        <x:v>exact_source_output</x:v>
      </x:c>
      <x:c r="J4" s="30" t="str">
        <x:v>verified_risk</x:v>
      </x:c>
      <x:c r="K4" s="30" t="str">
        <x:v>repair_decision</x:v>
      </x:c>
      <x:c r="L4" s="31" t="str">
        <x:v>status</x:v>
      </x:c>
    </x:row>
    <x:row r="5" ht="21.600000381469727" hidden="0" customHeight="1">
      <x:c r="A5" s="39" t="str">
        <x:v>Fig. 1A</x:v>
      </x:c>
      <x:c r="B5" s="39" t="str">
        <x:v>Institutional elastography cohort</x:v>
      </x:c>
      <x:c r="C5" s="39" t="str">
        <x:v>Patient</x:v>
      </x:c>
      <x:c r="D5" s="39" t="str">
        <x:v>9,703 examinations; 9,644 after technical QC; 9,562 adult examinations; 8,142 index patients</x:v>
      </x:c>
      <x:c r="E5" s="39" t="str">
        <x:v>Counts at each eligibility step</x:v>
      </x:c>
      <x:c r="F5" s="39" t="str">
        <x:v>Deterministic QC, age &gt;=18 years, first eligible examination per patient</x:v>
      </x:c>
      <x:c r="G5" s="39" t="str">
        <x:v>Descriptive</x:v>
      </x:c>
      <x:c r="H5" s="39" t="str">
        <x:v>rebuild_clinical_visuals.py</x:v>
      </x:c>
      <x:c r="I5" s="39" t="str">
        <x:v>clinical_analysis_summary.json</x:v>
      </x:c>
      <x:c r="J5" s="39" t="str">
        <x:v>Caption omits exact exclusions and unit transition</x:v>
      </x:c>
      <x:c r="K5" s="39" t="str">
        <x:v>Expand caption; retain</x:v>
      </x:c>
      <x:c r="L5" s="39" t="str">
        <x:v>Open</x:v>
      </x:c>
    </x:row>
    <x:row r="6" ht="21.600000381469727" hidden="0" customHeight="1">
      <x:c r="A6" s="40" t="str">
        <x:v>Fig. 1B-E</x:v>
      </x:c>
      <x:c r="B6" s="40" t="str">
        <x:v>Institutional elastography cohort</x:v>
      </x:c>
      <x:c r="C6" s="40" t="str">
        <x:v>Patient</x:v>
      </x:c>
      <x:c r="D6" s="40" t="str">
        <x:v>8,142; variable-specific marker denominators</x:v>
      </x:c>
      <x:c r="E6" s="40" t="str">
        <x:v>Median [IQR], n (%), calendar-year proportions, CAP-LSM density, observed marker prevalence</x:v>
      </x:c>
      <x:c r="F6" s="40" t="str">
        <x:v>LSM strata &lt;8.0, 8.0-9.4, 9.5-12.4, &gt;=12.5 kPa; CAP 280 and LSM 9.5 kPa for four-state display</x:v>
      </x:c>
      <x:c r="G6" s="40" t="str">
        <x:v>Descriptive; Spearman rho for CAP-LSM</x:v>
      </x:c>
      <x:c r="H6" s="40" t="str">
        <x:v>rebuild_clinical_visuals.py</x:v>
      </x:c>
      <x:c r="I6" s="40" t="str">
        <x:v>Table1_baseline_8142.tsv and aggregate source tables</x:v>
      </x:c>
      <x:c r="J6" s="40" t="str">
        <x:v>Caption does not define strata, denominators, or density encoding</x:v>
      </x:c>
      <x:c r="K6" s="40" t="str">
        <x:v>Expand caption; retain</x:v>
      </x:c>
      <x:c r="L6" s="40" t="str">
        <x:v>Open</x:v>
      </x:c>
    </x:row>
    <x:row r="7" ht="43.20000076293945" hidden="0" customHeight="1">
      <x:c r="A7" s="40" t="str">
        <x:v>Fig. 1F</x:v>
      </x:c>
      <x:c r="B7" s="40" t="str">
        <x:v>Institutional elastography cohort</x:v>
      </x:c>
      <x:c r="C7" s="40" t="str">
        <x:v>Patient</x:v>
      </x:c>
      <x:c r="D7" s="40" t="str">
        <x:v>Development 4,525/1,078 events; temporal 3,617/1,207; other-department 2,286/633</x:v>
      </x:c>
      <x:c r="E7" s="40" t="str">
        <x:v>AUROC and 95% bootstrap CI for LSM &gt;=9.5 kPa</x:v>
      </x:c>
      <x:c r="F7" s="40" t="str">
        <x:v>StandardScaler + L2-penalized logistic regression (default C=1.0; lbfgs) using age, sex, BMI, CAP; shuffled stratified 5-fold OOF prediction in 2023-2024; model refit on 2023-2024 for 2025-2026; separate GI-trained model for other departments</x:v>
      </x:c>
      <x:c r="G7" s="40" t="str">
        <x:v>1,200 patient bootstrap resamples; Brier score also computed</x:v>
      </x:c>
      <x:c r="H7" s="40" t="str">
        <x:v>rebuild_clinical_visuals.py:134-146,267-302</x:v>
      </x:c>
      <x:c r="I7" s="40" t="str">
        <x:v>clinical_validation_metrics.tsv</x:v>
      </x:c>
      <x:c r="J7" s="40" t="str">
        <x:v>Reviewer-named failure; current legend gives no model construction</x:v>
      </x:c>
      <x:c r="K7" s="40" t="str">
        <x:v>Fully specify in Methods and caption; call departmental analysis a separate transport test</x:v>
      </x:c>
      <x:c r="L7" s="40" t="str">
        <x:v>Open</x:v>
      </x:c>
    </x:row>
    <x:row r="8" ht="15" hidden="0" customHeight="1">
      <x:c r="A8" s="40" t="str">
        <x:v>Fig. 1G</x:v>
      </x:c>
      <x:c r="B8" s="40" t="str">
        <x:v>Conceptual bridge</x:v>
      </x:c>
      <x:c r="C8" s="40" t="str">
        <x:v>Not applicable</x:v>
      </x:c>
      <x:c r="D8" s="40" t="str">
        <x:v>Not applicable</x:v>
      </x:c>
      <x:c r="E8" s="40" t="str">
        <x:v>Operational relationship among imaging, serum, and tissue concepts</x:v>
      </x:c>
      <x:c r="F8" s="40" t="str">
        <x:v>No fitted causal model</x:v>
      </x:c>
      <x:c r="G8" s="40" t="str">
        <x:v>Conceptual schematic only</x:v>
      </x:c>
      <x:c r="H8" s="40" t="str">
        <x:v>Figure assembly code</x:v>
      </x:c>
      <x:c r="I8" s="40" t="str">
        <x:v>No inferential source table</x:v>
      </x:c>
      <x:c r="J8" s="40" t="str">
        <x:v>May be mistaken for a fitted causal model</x:v>
      </x:c>
      <x:c r="K8" s="40" t="str">
        <x:v>Label prominently as conceptual; consider moving to Discussion</x:v>
      </x:c>
      <x:c r="L8" s="40" t="str">
        <x:v>Open</x:v>
      </x:c>
    </x:row>
    <x:row r="9" ht="21.600000381469727" hidden="0" customHeight="1">
      <x:c r="A9" s="40" t="str">
        <x:v>Fig. 1H-K</x:v>
      </x:c>
      <x:c r="B9" s="40" t="str">
        <x:v>Longitudinal elastography cohort</x:v>
      </x:c>
      <x:c r="C9" s="40" t="str">
        <x:v>Patient</x:v>
      </x:c>
      <x:c r="D9" s="40" t="str">
        <x:v>772 patients; baseline and last eligible examination; median follow-up 291.5 days</x:v>
      </x:c>
      <x:c r="E9" s="40" t="str">
        <x:v>Four-state flow and threshold transitions</x:v>
      </x:c>
      <x:c r="F9" s="40" t="str">
        <x:v>Repeat &gt;=90 days; CAP threshold 280 dB/m; LSM threshold 9.5 kPa; strict persistence = final LSM &gt;=9.5 and reduction &lt;20%</x:v>
      </x:c>
      <x:c r="G9" s="40" t="str">
        <x:v>Counts and proportions; descriptive</x:v>
      </x:c>
      <x:c r="H9" s="40" t="str">
        <x:v>rebuild_clinical_visuals.py</x:v>
      </x:c>
      <x:c r="I9" s="40" t="str">
        <x:v>longitudinal_state_flow.tsv; longitudinal_outcomes.tsv</x:v>
      </x:c>
      <x:c r="J9" s="40" t="str">
        <x:v>Definitions and exam-selection rule absent from legend</x:v>
      </x:c>
      <x:c r="K9" s="40" t="str">
        <x:v>Expand caption; retain</x:v>
      </x:c>
      <x:c r="L9" s="40" t="str">
        <x:v>Open</x:v>
      </x:c>
    </x:row>
    <x:row r="10" ht="32.400001525878906" hidden="0" customHeight="1">
      <x:c r="A10" s="40" t="str">
        <x:v>Fig. 1L</x:v>
      </x:c>
      <x:c r="B10" s="40" t="str">
        <x:v>Linked serum complete cases</x:v>
      </x:c>
      <x:c r="C10" s="40" t="str">
        <x:v>Patient</x:v>
      </x:c>
      <x:c r="D10" s="40" t="str">
        <x:v>46 complete cases</x:v>
      </x:c>
      <x:c r="E10" s="40" t="str">
        <x:v>Standardized univariable odds ratios for LSM &gt;=9.5 kPa</x:v>
      </x:c>
      <x:c r="F10" s="40" t="str">
        <x:v>Composite = 0.50*ECM + 0.25*cholestatic stress + 0.25*portal-synthetic deficit; rank-normalized components</x:v>
      </x:c>
      <x:c r="G10" s="40" t="str">
        <x:v>Binomial GLM, Wald 95% CI; exploratory; no multivariable adjustment</x:v>
      </x:c>
      <x:c r="H10" s="40" t="str">
        <x:v>rebuild_clinical_visuals.py:149-156</x:v>
      </x:c>
      <x:c r="I10" s="40" t="str">
        <x:v>serum_imbalance_associations.tsv</x:v>
      </x:c>
      <x:c r="J10" s="40" t="str">
        <x:v>Current text can be read as validated clinical score</x:v>
      </x:c>
      <x:c r="K10" s="40" t="str">
        <x:v>State crude/exploratory status in panel and legend</x:v>
      </x:c>
      <x:c r="L10" s="40" t="str">
        <x:v>Open</x:v>
      </x:c>
    </x:row>
    <x:row r="11" ht="32.400001525878906" hidden="0" customHeight="1">
      <x:c r="A11" s="40" t="str">
        <x:v>Fig. 2A</x:v>
      </x:c>
      <x:c r="B11" s="40" t="str">
        <x:v>GSE295293</x:v>
      </x:c>
      <x:c r="C11" s="40" t="str">
        <x:v>Mouse</x:v>
      </x:c>
      <x:c r="D11" s="40" t="str">
        <x:v>9 mice; 3 control, 3 TAA fibrosis, 3 withdrawal</x:v>
      </x:c>
      <x:c r="E11" s="40" t="str">
        <x:v>Each point is a gene-compartment contrast estimate; axes are progression, withdrawal, and residual log2FC</x:v>
      </x:c>
      <x:c r="F11" s="40" t="str">
        <x:v>Animal-level pseudobulk; edgeR filterByExpr, TMM, robust quasi-likelihood negative-binomial models; progression FDR&lt;0.10 and |log2FC|&gt;=0.5; persistent residual same direction, FDR&lt;0.10, &gt;=50% retained</x:v>
      </x:c>
      <x:c r="G11" s="40" t="str">
        <x:v>BH FDR within compartment/contrast</x:v>
      </x:c>
      <x:c r="H11" s="40" t="str">
        <x:v>GSE295293_prepare_pseudobulk.py; GSE295293_dynamic_pseudobulk.R</x:v>
      </x:c>
      <x:c r="I11" s="40" t="str">
        <x:v>pseudobulk_counts.tsv.gz; pseudobulk_metadata.tsv; gene-fate tables</x:v>
      </x:c>
      <x:c r="J11" s="40" t="str">
        <x:v>Reviewer-named failure; axes, point unit, thresholds, and colors absent</x:v>
      </x:c>
      <x:c r="K11" s="40" t="str">
        <x:v>Rewrite caption panel-by-panel; retain</x:v>
      </x:c>
      <x:c r="L11" s="40" t="str">
        <x:v>Open</x:v>
      </x:c>
    </x:row>
    <x:row r="12" ht="32.400001525878906" hidden="0" customHeight="1">
      <x:c r="A12" s="40" t="str">
        <x:v>Fig. 2B</x:v>
      </x:c>
      <x:c r="B12" s="40" t="str">
        <x:v>GSE295293</x:v>
      </x:c>
      <x:c r="C12" s="40" t="str">
        <x:v>Mouse</x:v>
      </x:c>
      <x:c r="D12" s="40" t="str">
        <x:v>9 mice; 3/group</x:v>
      </x:c>
      <x:c r="E12" s="40" t="str">
        <x:v>Progression and residual-withdrawal log2FC for selected persistent gene-compartment pairs</x:v>
      </x:c>
      <x:c r="F12" s="40" t="str">
        <x:v>Same pseudobulk model as Fig. 2A</x:v>
      </x:c>
      <x:c r="G12" s="40" t="str">
        <x:v>Exact 1,680 group-allocation tests for trajectory summaries where shown</x:v>
      </x:c>
      <x:c r="H12" s="40" t="str">
        <x:v>mouse_resolver_lock_trajectory.py and edgeR outputs</x:v>
      </x:c>
      <x:c r="I12" s="40" t="str">
        <x:v>GSE295293_exact_phase_tests.tsv</x:v>
      </x:c>
      <x:c r="J12" s="40" t="str">
        <x:v>Denominator behind reported persistence percentages is unclear</x:v>
      </x:c>
      <x:c r="K12" s="40" t="str">
        <x:v>State compartment-specific progression-gene denominators and selection rule</x:v>
      </x:c>
      <x:c r="L12" s="40" t="str">
        <x:v>Open</x:v>
      </x:c>
    </x:row>
    <x:row r="13" ht="32.400001525878906" hidden="0" customHeight="1">
      <x:c r="A13" s="40" t="str">
        <x:v>Fig. 2C-D</x:v>
      </x:c>
      <x:c r="B13" s="40" t="str">
        <x:v>GSE305331</x:v>
      </x:c>
      <x:c r="C13" s="40" t="str">
        <x:v>Pooled condition library</x:v>
      </x:c>
      <x:c r="D13" s="40" t="str">
        <x:v>7 libraries; each condition pooled from 3 mice; 543,639 nuclei are technical observations</x:v>
      </x:c>
      <x:c r="E13" s="40" t="str">
        <x:v>Condition-level module means across peak, 2 weeks, and 6 weeks; resolver proxy = mean(Endo4_WNT_resolver, LAM_resolver); lock proxy = HSC_pathogenic_retention; each proxy z-scored within etiology</x:v>
      </x:c>
      <x:c r="F13" s="40" t="str">
        <x:v>Per-library single-nucleus processing followed by cell-class module scoring</x:v>
      </x:c>
      <x:c r="G13" s="40" t="str">
        <x:v>Descriptive only; no biological-replicate inference</x:v>
      </x:c>
      <x:c r="H13" s="40" t="str">
        <x:v>GSE305331_stream_state_trajectories.py; mouse_resolver_lock_trajectory.py:103-106</x:v>
      </x:c>
      <x:c r="I13" s="40" t="str">
        <x:v>GSE305331_cross_etiology_phase_trajectories.tsv</x:v>
      </x:c>
      <x:c r="J13" s="40" t="str">
        <x:v>Undefined proxies and pseudo-replication risk</x:v>
      </x:c>
      <x:c r="K13" s="40" t="str">
        <x:v>Put formulas and pooled-library limitation in caption; remove inferential shading</x:v>
      </x:c>
      <x:c r="L13" s="40" t="str">
        <x:v>Open</x:v>
      </x:c>
    </x:row>
    <x:row r="14" ht="21.600000381469727" hidden="0" customHeight="1">
      <x:c r="A14" s="40" t="str">
        <x:v>Fig. 3A-B</x:v>
      </x:c>
      <x:c r="B14" s="40" t="str">
        <x:v>GSE136103</x:v>
      </x:c>
      <x:c r="C14" s="40" t="str">
        <x:v>Cell for display; donor is biological unit</x:v>
      </x:c>
      <x:c r="D14" s="40" t="str">
        <x:v>60,721 cells</x:v>
      </x:c>
      <x:c r="E14" s="40" t="str">
        <x:v>Published/frozen UMAP and cell-type dot plot; dot size = expressing fraction, color = mean expression</x:v>
      </x:c>
      <x:c r="F14" s="40" t="str">
        <x:v>Processed atlas used descriptively; final modules originate from donor-level and replicated analyses</x:v>
      </x:c>
      <x:c r="G14" s="40" t="str">
        <x:v>Descriptive</x:v>
      </x:c>
      <x:c r="H14" s="40" t="str">
        <x:v>build_singlecell_atlas_visuals.py</x:v>
      </x:c>
      <x:c r="I14" s="40" t="str">
        <x:v>Derived UMAP/dot-plot data to be added to repository</x:v>
      </x:c>
      <x:c r="J14" s="40" t="str">
        <x:v>Donor number and processing provenance are missing</x:v>
      </x:c>
      <x:c r="K14" s="40" t="str">
        <x:v>Add donor/sample structure and descriptive boundary</x:v>
      </x:c>
      <x:c r="L14" s="40" t="str">
        <x:v>Open</x:v>
      </x:c>
    </x:row>
    <x:row r="15" ht="21.600000381469727" hidden="0" customHeight="1">
      <x:c r="A15" s="40" t="str">
        <x:v>Fig. 3C</x:v>
      </x:c>
      <x:c r="B15" s="40" t="str">
        <x:v>GSE244832 + GSE295293 + source ATAC/RNA</x:v>
      </x:c>
      <x:c r="C15" s="40" t="str">
        <x:v>Gene evidence across donor-level/dataset-level analyses</x:v>
      </x:c>
      <x:c r="D15" s="40" t="str">
        <x:v>4 HSC candidates and 5 macrophage genes</x:v>
      </x:c>
      <x:c r="E15" s="40" t="str">
        <x:v>Direction/sign matrix across human label sets, source modalities, mouse progression/residual, and functional assignment</x:v>
      </x:c>
      <x:c r="F15" s="40" t="str">
        <x:v>Exact effect sources differ by column and must be named</x:v>
      </x:c>
      <x:c r="G15" s="40" t="str">
        <x:v>Mixed; no single omnibus P value</x:v>
      </x:c>
      <x:c r="H15" s="40" t="str">
        <x:v>GSE244832_integrate_retention_candidates.py</x:v>
      </x:c>
      <x:c r="I15" s="40" t="str">
        <x:v>integrated_retention_candidates.tsv and macrophage-fate table</x:v>
      </x:c>
      <x:c r="J15" s="40" t="str">
        <x:v>Current legend does not decode columns, symbols, or missing cells</x:v>
      </x:c>
      <x:c r="K15" s="40" t="str">
        <x:v>Add full key and source per column</x:v>
      </x:c>
      <x:c r="L15" s="40" t="str">
        <x:v>Open</x:v>
      </x:c>
    </x:row>
    <x:row r="16" ht="21.600000381469727" hidden="0" customHeight="1">
      <x:c r="A16" s="40" t="str">
        <x:v>Fig. 3D</x:v>
      </x:c>
      <x:c r="B16" s="40" t="str">
        <x:v>Heterogeneous evidence summaries</x:v>
      </x:c>
      <x:c r="C16" s="40" t="str">
        <x:v>Gene</x:v>
      </x:c>
      <x:c r="D16" s="40" t="str">
        <x:v>9 genes</x:v>
      </x:c>
      <x:c r="E16" s="40" t="str">
        <x:v>Displayed 'integrated evidence strength'</x:v>
      </x:c>
      <x:c r="F16" s="40" t="str">
        <x:v>HSC score is a 0-9 weighted tally; macrophage bars were generated as 2.2*abs(residual log2FC)+3, which is not the same scale</x:v>
      </x:c>
      <x:c r="G16" s="40" t="str">
        <x:v>No valid cross-gene inferential interpretation</x:v>
      </x:c>
      <x:c r="H16" s="40" t="str">
        <x:v>build_visual_enhancement.py:825-827</x:v>
      </x:c>
      <x:c r="I16" s="40" t="str">
        <x:v>Source tables above</x:v>
      </x:c>
      <x:c r="J16" s="40" t="str">
        <x:v>Incompatible ad hoc scales are presented on one quantitative axis</x:v>
      </x:c>
      <x:c r="K16" s="40" t="str">
        <x:v>Remove from main figure or replace with categorical evidence counts</x:v>
      </x:c>
      <x:c r="L16" s="40" t="str">
        <x:v>Open</x:v>
      </x:c>
    </x:row>
    <x:row r="17" ht="21.600000381469727" hidden="0" customHeight="1">
      <x:c r="A17" s="40" t="str">
        <x:v>Fig. 3E</x:v>
      </x:c>
      <x:c r="B17" s="40" t="str">
        <x:v>GSE295293</x:v>
      </x:c>
      <x:c r="C17" s="40" t="str">
        <x:v>Gene-compartment pair</x:v>
      </x:c>
      <x:c r="D17" s="40" t="str">
        <x:v>Persistent genes passing the stated mouse fate rule</x:v>
      </x:c>
      <x:c r="E17" s="40" t="str">
        <x:v>Chord width = clipped absolute residual log2FC; chord links a persistent gene to a compartment</x:v>
      </x:c>
      <x:c r="F17" s="40" t="str">
        <x:v>Persistent fate table pivoted by cell type and gene</x:v>
      </x:c>
      <x:c r="G17" s="40" t="str">
        <x:v>Descriptive</x:v>
      </x:c>
      <x:c r="H17" s="40" t="str">
        <x:v>build_visual_refinement_round2.py:230-269</x:v>
      </x:c>
      <x:c r="I17" s="40" t="str">
        <x:v>GSE295293 gene-fate table</x:v>
      </x:c>
      <x:c r="J17" s="40" t="str">
        <x:v>Legend does not define a chord</x:v>
      </x:c>
      <x:c r="K17" s="40" t="str">
        <x:v>Define ribbons and clipping; retain as secondary panel</x:v>
      </x:c>
      <x:c r="L17" s="40" t="str">
        <x:v>Open</x:v>
      </x:c>
    </x:row>
    <x:row r="18" ht="32.400001525878906" hidden="0" customHeight="1">
      <x:c r="A18" s="40" t="str">
        <x:v>Fig. 4A-B</x:v>
      </x:c>
      <x:c r="B18" s="40" t="str">
        <x:v>UQ MASLD Visium</x:v>
      </x:c>
      <x:c r="C18" s="40" t="str">
        <x:v>Patient cluster</x:v>
      </x:c>
      <x:c r="D18" s="40" t="str">
        <x:v>33 biopsies, 32 patient clusters, 13,585 assigned spots</x:v>
      </x:c>
      <x:c r="E18" s="40" t="str">
        <x:v>A: within-array standardized biopsy module means; B: lineage-adjusted biopsy scar-proximity coefficients</x:v>
      </x:c>
      <x:c r="F18" s="40" t="str">
        <x:v>Top 15% ECM scar field; 8x4 biopsy grid; lineage and library-size adjustment; array fixed effects</x:v>
      </x:c>
      <x:c r="G18" s="40" t="str">
        <x:v>HC3 SE; 9,999 within-array Freedman-Lane permutations; BH across 33 spatial tests</x:v>
      </x:c>
      <x:c r="H18" s="40" t="str">
        <x:v>UQ_Visium_resolver_window_analysis.py</x:v>
      </x:c>
      <x:c r="I18" s="40" t="str">
        <x:v>UQ_Visium_* source tables</x:v>
      </x:c>
      <x:c r="J18" s="40" t="str">
        <x:v>Raw module scores and adjusted coupling coefficients are visually similar and not distinguished</x:v>
      </x:c>
      <x:c r="K18" s="40" t="str">
        <x:v>Separate scales and define each heatmap explicitly</x:v>
      </x:c>
      <x:c r="L18" s="40" t="str">
        <x:v>Open</x:v>
      </x:c>
    </x:row>
    <x:row r="19" ht="21.600000381469727" hidden="0" customHeight="1">
      <x:c r="A19" s="40" t="str">
        <x:v>Fig. 4C-F</x:v>
      </x:c>
      <x:c r="B19" s="40" t="str">
        <x:v>UQ CODEX</x:v>
      </x:c>
      <x:c r="C19" s="40" t="str">
        <x:v>Section</x:v>
      </x:c>
      <x:c r="D19" s="40" t="str">
        <x:v>One F1, one F2, one F4 section</x:v>
      </x:c>
      <x:c r="E19" s="40" t="str">
        <x:v>Multiplex fields and section-specific Collagen-IV coupling/enrichment</x:v>
      </x:c>
      <x:c r="F19" s="40" t="str">
        <x:v>128x128-pixel primary patches; 96 and 160 sensitivity; &gt;=15% tissue; 1-99% winsorization; DAPI/tissue covariates; toroidal spatial null</x:v>
      </x:c>
      <x:c r="G19" s="40" t="str">
        <x:v>Section-level descriptive spatial analysis only</x:v>
      </x:c>
      <x:c r="H19" s="40" t="str">
        <x:v>UQ_CODEX_spatial_protein_validation.py</x:v>
      </x:c>
      <x:c r="I19" s="40" t="str">
        <x:v>UQ_CODEX_spatial_coupling.tsv; UQ_CODEX_scar_enrichment.tsv</x:v>
      </x:c>
      <x:c r="J19" s="40" t="str">
        <x:v>Line graph implies a replicated stage trend</x:v>
      </x:c>
      <x:c r="K19" s="40" t="str">
        <x:v>Replace connecting line with three standalone section estimates and print n=1 section/stage</x:v>
      </x:c>
      <x:c r="L19" s="40" t="str">
        <x:v>Open</x:v>
      </x:c>
    </x:row>
    <x:row r="20" ht="32.400001525878906" hidden="0" customHeight="1">
      <x:c r="A20" s="40" t="str">
        <x:v>Fig. 5A-E</x:v>
      </x:c>
      <x:c r="B20" s="40" t="str">
        <x:v>UQ MASLD Visium</x:v>
      </x:c>
      <x:c r="C20" s="40" t="str">
        <x:v>Patient cluster</x:v>
      </x:c>
      <x:c r="D20" s="40" t="str">
        <x:v>33 biopsies/32 patient clusters</x:v>
      </x:c>
      <x:c r="E20" s="40" t="str">
        <x:v>Spot posterior state maps</x:v>
      </x:c>
      <x:c r="F20" s="40" t="str">
        <x:v>Two-component GMM mapped to spots; display representatives selected nearest stage-specific median largest-domain fraction; posterior &gt;=0.67 labeled, otherwise transitional</x:v>
      </x:c>
      <x:c r="G20" s="40" t="str">
        <x:v>Representative descriptive maps</x:v>
      </x:c>
      <x:c r="H20" s="40" t="str">
        <x:v>uq_phase_basin_control.py; build_visual_enhancement.py</x:v>
      </x:c>
      <x:c r="I20" s="40" t="str">
        <x:v>phase_spot_states.parquet; spatial_domain_topology.tsv</x:v>
      </x:c>
      <x:c r="J20" s="40" t="str">
        <x:v>Representative selection and 0.67 display threshold absent</x:v>
      </x:c>
      <x:c r="K20" s="40" t="str">
        <x:v>State deterministic selection and threshold</x:v>
      </x:c>
      <x:c r="L20" s="40" t="str">
        <x:v>Open</x:v>
      </x:c>
    </x:row>
    <x:row r="21" ht="32.400001525878906" hidden="0" customHeight="1">
      <x:c r="A21" s="40" t="str">
        <x:v>Fig. 5F-K</x:v>
      </x:c>
      <x:c r="B21" s="40" t="str">
        <x:v>UQ MASLD Visium</x:v>
      </x:c>
      <x:c r="C21" s="40" t="str">
        <x:v>Patient cluster</x:v>
      </x:c>
      <x:c r="D21" s="40" t="str">
        <x:v>33 biopsies/32 patient clusters</x:v>
      </x:c>
      <x:c r="E21" s="40" t="str">
        <x:v>Largest retained component, cross-state edge fraction, threshold sensitivity, state fractions</x:v>
      </x:c>
      <x:c r="F21" s="40" t="str">
        <x:v>Graph edge if full-resolution distance &lt;=1.25x median nearest-neighbor distance; primary topology cutoff posterior &gt;=0.50; sensitivity 0.40-0.67</x:v>
      </x:c>
      <x:c r="G21" s="40" t="str">
        <x:v>Array-fixed OLS + HC3; 10,000 within-array permutations; BH over four outcomes</x:v>
      </x:c>
      <x:c r="H21" s="40" t="str">
        <x:v>spatial_domain_wall_resolver_window.py</x:v>
      </x:c>
      <x:c r="I21" s="40" t="str">
        <x:v>spatial_domain_* tables</x:v>
      </x:c>
      <x:c r="J21" s="40" t="str">
        <x:v>0.50 topology threshold conflicts visually with 0.67 labeling threshold unless separated</x:v>
      </x:c>
      <x:c r="K21" s="40" t="str">
        <x:v>Use 'retained-state dominant/repair-state dominant'; explain both thresholds</x:v>
      </x:c>
      <x:c r="L21" s="40" t="str">
        <x:v>Open</x:v>
      </x:c>
    </x:row>
    <x:row r="22" ht="21.600000381469727" hidden="0" customHeight="1">
      <x:c r="A22" s="40" t="str">
        <x:v>Fig. 6A,C-D</x:v>
      </x:c>
      <x:c r="B22" s="40" t="str">
        <x:v>UQ MASLD Visium</x:v>
      </x:c>
      <x:c r="C22" s="40" t="str">
        <x:v>Patient cluster</x:v>
      </x:c>
      <x:c r="D22" s="40" t="str">
        <x:v>589 blocks from 33 biopsies/32 patient clusters</x:v>
      </x:c>
      <x:c r="E22" s="40" t="str">
        <x:v>Two-component full-covariance GMM density, equal-posterior boundary, boundary-aligned profiles, axis sensitivities</x:v>
      </x:c>
      <x:c r="F22" s="40" t="str">
        <x:v>1-5 components, 50 starts, BIC selection; 300 patient bootstraps and leave-one-patient-out refits</x:v>
      </x:c>
      <x:c r="G22" s="40" t="str">
        <x:v>Model selection and stability analysis</x:v>
      </x:c>
      <x:c r="H22" s="40" t="str">
        <x:v>uq_phase_basin_control.py</x:v>
      </x:c>
      <x:c r="I22" s="40" t="str">
        <x:v>phase_gmm_model_selection.tsv; phase_patient_bootstrap_multibasin.tsv; phase_leave_one_patient_out.tsv</x:v>
      </x:c>
      <x:c r="J22" s="40" t="str">
        <x:v>Static density was labeled as a physical potential, valleys, separatrix, and hysteresis</x:v>
      </x:c>
      <x:c r="K22" s="40" t="str">
        <x:v>Redraw as fitted density/decision boundary; remove dynamical-system claims unless a dynamical model is fitted</x:v>
      </x:c>
      <x:c r="L22" s="40" t="str">
        <x:v>Open</x:v>
      </x:c>
    </x:row>
    <x:row r="23" ht="21.600000381469727" hidden="0" customHeight="1">
      <x:c r="A23" s="40" t="str">
        <x:v>Fig. 6B</x:v>
      </x:c>
      <x:c r="B23" s="40" t="str">
        <x:v>GSE295293 + GSE305331 projected summaries</x:v>
      </x:c>
      <x:c r="C23" s="40" t="str">
        <x:v>Mouse or pooled library</x:v>
      </x:c>
      <x:c r="D23" s="40" t="str">
        <x:v>9 replicated mice plus 7 pooled condition libraries</x:v>
      </x:c>
      <x:c r="E23" s="40" t="str">
        <x:v>Progression/withdrawal trajectories in standardized repair-retention score space</x:v>
      </x:c>
      <x:c r="F23" s="40" t="str">
        <x:v>Module-score projection; exact group-allocation test only for GSE295293</x:v>
      </x:c>
      <x:c r="G23" s="40" t="str">
        <x:v>Mixed inferential/descriptive</x:v>
      </x:c>
      <x:c r="H23" s="40" t="str">
        <x:v>mouse_resolver_lock_trajectory.py</x:v>
      </x:c>
      <x:c r="I23" s="40" t="str">
        <x:v>mouse phase score and trajectory tables</x:v>
      </x:c>
      <x:c r="J23" s="40" t="str">
        <x:v>Projection into human space and vector field are insufficiently defined; displayed streamlines are model-derived illustration</x:v>
      </x:c>
      <x:c r="K23" s="40" t="str">
        <x:v>State transformation exactly; remove unestimated vector field or label it schematic</x:v>
      </x:c>
      <x:c r="L23" s="40" t="str">
        <x:v>Open</x:v>
      </x:c>
    </x:row>
    <x:row r="24" ht="21.600000381469727" hidden="0" customHeight="1">
      <x:c r="A24" s="40" t="str">
        <x:v>Fig. 7A</x:v>
      </x:c>
      <x:c r="B24" s="40" t="str">
        <x:v>Literature + project-supported links</x:v>
      </x:c>
      <x:c r="C24" s="40" t="str">
        <x:v>Relationship</x:v>
      </x:c>
      <x:c r="D24" s="40" t="str">
        <x:v>Not applicable</x:v>
      </x:c>
      <x:c r="E24" s="40" t="str">
        <x:v>Candidate feedback circuit</x:v>
      </x:c>
      <x:c r="F24" s="40" t="str">
        <x:v>Solid edges = literature-established biochemical/mechanical links; dashed edges = project-supported hypotheses</x:v>
      </x:c>
      <x:c r="G24" s="40" t="str">
        <x:v>No statistical test</x:v>
      </x:c>
      <x:c r="H24" s="40" t="str">
        <x:v>figure mechanism assembly script</x:v>
      </x:c>
      <x:c r="I24" s="40" t="str">
        <x:v>Evidence-source table required</x:v>
      </x:c>
      <x:c r="J24" s="40" t="str">
        <x:v>May be read as experimentally established causal circuit</x:v>
      </x:c>
      <x:c r="K24" s="40" t="str">
        <x:v>Add edge-level citation/evidence table and 'hypothesis model' label</x:v>
      </x:c>
      <x:c r="L24" s="40" t="str">
        <x:v>Open</x:v>
      </x:c>
    </x:row>
    <x:row r="25" ht="21.600000381469727" hidden="0" customHeight="1">
      <x:c r="A25" s="40" t="str">
        <x:v>Fig. 7B</x:v>
      </x:c>
      <x:c r="B25" s="40" t="str">
        <x:v>scGPT, CellOracle, LINCS</x:v>
      </x:c>
      <x:c r="C25" s="40" t="str">
        <x:v>Donor or matched signature context</x:v>
      </x:c>
      <x:c r="D25" s="40" t="str">
        <x:v>scGPT 2,002 cells/1,517 genes; donor bootstrap; CellOracle donor means; LINCS matched signatures</x:v>
      </x:c>
      <x:c r="E25" s="40" t="str">
        <x:v>In silico target effects and cross-platform directions</x:v>
      </x:c>
      <x:c r="F25" s="40" t="str">
        <x:v>Target value ablation, network knockout simulation, and matched-context L1000 direction check</x:v>
      </x:c>
      <x:c r="G25" s="40" t="str">
        <x:v>5,000 donor bootstraps or platform-specific empirical nulls</x:v>
      </x:c>
      <x:c r="H25" s="40" t="str">
        <x:v>scgpt_v16_hsc_control_perturbation.py; celloracle_v16_ap1_runx2_test.py; LINCS_AP1_genetic_perturbation.py</x:v>
      </x:c>
      <x:c r="I25" s="40" t="str">
        <x:v>Platform result tables</x:v>
      </x:c>
      <x:c r="J25" s="40" t="str">
        <x:v>Could be mistaken for experimental perturbation; cross-platform score scales differ</x:v>
      </x:c>
      <x:c r="K25" s="40" t="str">
        <x:v>Label in silico throughout; show each platform on its own scale</x:v>
      </x:c>
      <x:c r="L25" s="40" t="str">
        <x:v>Open</x:v>
      </x:c>
    </x:row>
    <x:row r="26" ht="21.600000381469727" hidden="0" customHeight="1">
      <x:c r="A26" s="41" t="str">
        <x:v>Fig. 7C-D</x:v>
      </x:c>
      <x:c r="B26" s="41" t="str">
        <x:v>LINCS L1000</x:v>
      </x:c>
      <x:c r="C26" s="41" t="str">
        <x:v>Signature/compound/pair</x:v>
      </x:c>
      <x:c r="D26" s="41" t="str">
        <x:v>8,632 signatures; 575 collapsed compounds; 394 eligible; 299 distinct early-late pairs</x:v>
      </x:c>
      <x:c r="E26" s="41" t="str">
        <x:v>Dual-axis compound score and order-aware pair score</x:v>
      </x:c>
      <x:c r="F26" s="41" t="str">
        <x:v>R=-mean(retention z); E/M=mean repair z; asymmetric forward/reverse formulas assign early and late roles; 27 weight schemes</x:v>
      </x:c>
      <x:c r="G26" s="41" t="str">
        <x:v>Rank/sensitivity analysis, not observed treatment efficacy</x:v>
      </x:c>
      <x:c r="H26" s="41" t="str">
        <x:v>stage4_regulatory_drug_control.py; sequential_basin_switch_drugs.py</x:v>
      </x:c>
      <x:c r="I26" s="41" t="str">
        <x:v>LINCS hard-gated table; ordered-pair and weight-sensitivity tables</x:v>
      </x:c>
      <x:c r="J26" s="41" t="str">
        <x:v>Order difference is produced by the defined scoring rule; safety/computational hard gate was not enforced in pair generation</x:v>
      </x:c>
      <x:c r="K26" s="41" t="str">
        <x:v>Retitle as hypothesis nomination; enforce declared gates or remove gate claims; no treatment-order conclusion</x:v>
      </x:c>
      <x:c r="L26" s="41" t="str">
        <x:v>Open</x:v>
      </x:c>
    </x:row>
  </x:sheetData>
  <x:mergeCells>
    <x:mergeCell ref="A1:L1"/>
    <x:mergeCell ref="A2:L2"/>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8" hidden="0" customWidth="1"/>
    <x:col min="2" max="2" width="11" hidden="0" customWidth="1"/>
    <x:col min="3" max="3" width="15.300000190734863" hidden="0" customWidth="1"/>
    <x:col min="4" max="4" width="48" hidden="0" customWidth="1"/>
    <x:col min="5" max="5" width="44.65999984741211" hidden="0" customWidth="1"/>
    <x:col min="6" max="6" width="21.600000381469727" hidden="0" customWidth="1"/>
  </x:cols>
  <x:sheetData>
    <x:row r="1" ht="30" customHeight="1">
      <x:c r="A1" s="20" t="str">
        <x:v>Resubmission Repair Actions</x:v>
      </x:c>
      <x:c r="B1" s="20"/>
      <x:c r="C1" s="20"/>
      <x:c r="D1" s="20"/>
      <x:c r="E1" s="20"/>
      <x:c r="F1" s="20"/>
    </x:row>
    <x:row r="2" ht="30" customHeight="1">
      <x:c r="A2" s="21" t="str">
        <x:v>Priority-ordered actions with explicit acceptance criteria</x:v>
      </x:c>
      <x:c r="B2" s="21"/>
      <x:c r="C2" s="21"/>
      <x:c r="D2" s="21"/>
      <x:c r="E2" s="21"/>
      <x:c r="F2" s="21"/>
    </x:row>
    <x:row r="4" ht="15" hidden="0" customHeight="1">
      <x:c r="A4" s="29" t="str">
        <x:v>action_id</x:v>
      </x:c>
      <x:c r="B4" s="30" t="str">
        <x:v>priority</x:v>
      </x:c>
      <x:c r="C4" s="30" t="str">
        <x:v>workstream</x:v>
      </x:c>
      <x:c r="D4" s="30" t="str">
        <x:v>action</x:v>
      </x:c>
      <x:c r="E4" s="30" t="str">
        <x:v>acceptance_criterion</x:v>
      </x:c>
      <x:c r="F4" s="31" t="str">
        <x:v>status</x:v>
      </x:c>
    </x:row>
    <x:row r="5" ht="21.600000381469727" hidden="0" customHeight="1">
      <x:c r="A5" s="39" t="str">
        <x:v>A01</x:v>
      </x:c>
      <x:c r="B5" s="39" t="str">
        <x:v>Critical</x:v>
      </x:c>
      <x:c r="C5" s="39" t="str">
        <x:v>Freeze facts</x:v>
      </x:c>
      <x:c r="D5" s="39" t="str">
        <x:v>Use this workbook as the single source of truth for all captions and Methods.</x:v>
      </x:c>
      <x:c r="E5" s="39" t="str">
        <x:v>No contradictions across manuscript, captions, repository, and source tables.</x:v>
      </x:c>
      <x:c r="F5" s="39" t="str">
        <x:v>In progress</x:v>
      </x:c>
    </x:row>
    <x:row r="6" ht="21.600000381469727" hidden="0" customHeight="1">
      <x:c r="A6" s="40" t="str">
        <x:v>A02</x:v>
      </x:c>
      <x:c r="B6" s="40" t="str">
        <x:v>Critical</x:v>
      </x:c>
      <x:c r="C6" s="40" t="str">
        <x:v>Figure legends</x:v>
      </x:c>
      <x:c r="D6" s="40" t="str">
        <x:v>Rewrite all seven legends at panel level with data source, biological unit, n, plotted quantity, formula, uncertainty, and test.</x:v>
      </x:c>
      <x:c r="E6" s="40" t="str">
        <x:v>Every panel can be interpreted without searching the Methods.</x:v>
      </x:c>
      <x:c r="F6" s="40" t="str">
        <x:v>Pending</x:v>
      </x:c>
    </x:row>
    <x:row r="7" ht="21.600000381469727" hidden="0" customHeight="1">
      <x:c r="A7" s="40" t="str">
        <x:v>A03</x:v>
      </x:c>
      <x:c r="B7" s="40" t="str">
        <x:v>Critical</x:v>
      </x:c>
      <x:c r="C7" s="40" t="str">
        <x:v>Fig. 1F</x:v>
      </x:c>
      <x:c r="D7" s="40" t="str">
        <x:v>Add exact model implementation, cohort/event counts, 5-fold OOF procedure, and 1,200-bootstrap CI method.</x:v>
      </x:c>
      <x:c r="E7" s="40" t="str">
        <x:v>Reproduces clinical_validation_metrics.tsv exactly.</x:v>
      </x:c>
      <x:c r="F7" s="40" t="str">
        <x:v>Verified facts available</x:v>
      </x:c>
    </x:row>
    <x:row r="8" ht="21.600000381469727" hidden="0" customHeight="1">
      <x:c r="A8" s="40" t="str">
        <x:v>A04</x:v>
      </x:c>
      <x:c r="B8" s="40" t="str">
        <x:v>Critical</x:v>
      </x:c>
      <x:c r="C8" s="40" t="str">
        <x:v>Fig. 2</x:v>
      </x:c>
      <x:c r="D8" s="40" t="str">
        <x:v>Define all axes, gene-fate thresholds, denominators, proxy formulas, and pooled-library boundary.</x:v>
      </x:c>
      <x:c r="E8" s="40" t="str">
        <x:v>Caption independently explains panels A-D.</x:v>
      </x:c>
      <x:c r="F8" s="40" t="str">
        <x:v>Verified facts available</x:v>
      </x:c>
    </x:row>
    <x:row r="9" ht="21.600000381469727" hidden="0" customHeight="1">
      <x:c r="A9" s="40" t="str">
        <x:v>A05</x:v>
      </x:c>
      <x:c r="B9" s="40" t="str">
        <x:v>Critical</x:v>
      </x:c>
      <x:c r="C9" s="40" t="str">
        <x:v>Fig. 3D</x:v>
      </x:c>
      <x:c r="D9" s="40" t="str">
        <x:v>Remove the mixed-scale integrated-evidence bar chart or rebuild it as a categorical evidence tally.</x:v>
      </x:c>
      <x:c r="E9" s="40" t="str">
        <x:v>No incompatible quantitative scales share one axis.</x:v>
      </x:c>
      <x:c r="F9" s="40" t="str">
        <x:v>Decision required</x:v>
      </x:c>
    </x:row>
    <x:row r="10" ht="21.600000381469727" hidden="0" customHeight="1">
      <x:c r="A10" s="40" t="str">
        <x:v>A06</x:v>
      </x:c>
      <x:c r="B10" s="40" t="str">
        <x:v>Critical</x:v>
      </x:c>
      <x:c r="C10" s="40" t="str">
        <x:v>Fig. 6</x:v>
      </x:c>
      <x:c r="D10" s="40" t="str">
        <x:v>Replace potential/valley/separatrix/hysteresis language with GMM density, equal-posterior boundary, and incomplete-return geometry.</x:v>
      </x:c>
      <x:c r="E10" s="40" t="str">
        <x:v>No dynamical-system claim without a fitted dynamical model.</x:v>
      </x:c>
      <x:c r="F10" s="40" t="str">
        <x:v>Decision required</x:v>
      </x:c>
    </x:row>
    <x:row r="11" ht="21.600000381469727" hidden="0" customHeight="1">
      <x:c r="A11" s="40" t="str">
        <x:v>A07</x:v>
      </x:c>
      <x:c r="B11" s="40" t="str">
        <x:v>Critical</x:v>
      </x:c>
      <x:c r="C11" s="40" t="str">
        <x:v>Fig. 7</x:v>
      </x:c>
      <x:c r="D11" s="40" t="str">
        <x:v>State that order-aware scoring nominates an experiment; enforce or remove safety and computational-gate claims.</x:v>
      </x:c>
      <x:c r="E11" s="40" t="str">
        <x:v>No claim of observed order effect or efficacy.</x:v>
      </x:c>
      <x:c r="F11" s="40" t="str">
        <x:v>Decision required</x:v>
      </x:c>
    </x:row>
    <x:row r="12" ht="21.600000381469727" hidden="0" customHeight="1">
      <x:c r="A12" s="40" t="str">
        <x:v>A08</x:v>
      </x:c>
      <x:c r="B12" s="40" t="str">
        <x:v>Critical</x:v>
      </x:c>
      <x:c r="C12" s="40" t="str">
        <x:v>Code archive</x:v>
      </x:c>
      <x:c r="D12" s="40" t="str">
        <x:v>Publish a versioned, tested repository and Zenodo archive before resubmission.</x:v>
      </x:c>
      <x:c r="E12" s="40" t="str">
        <x:v>Public URLs resolve; archive contains scripts; clean clone passes validation.</x:v>
      </x:c>
      <x:c r="F12" s="40" t="str">
        <x:v>In progress</x:v>
      </x:c>
    </x:row>
    <x:row r="13" ht="21.600000381469727" hidden="0" customHeight="1">
      <x:c r="A13" s="40" t="str">
        <x:v>A09</x:v>
      </x:c>
      <x:c r="B13" s="40" t="str">
        <x:v>High</x:v>
      </x:c>
      <x:c r="C13" s="40" t="str">
        <x:v>Figure provenance</x:v>
      </x:c>
      <x:c r="D13" s="40" t="str">
        <x:v>Add panel -&gt; dataset -&gt; unit -&gt; n -&gt; input -&gt; transform -&gt; statistic -&gt; script -&gt; output map as Supplementary Data.</x:v>
      </x:c>
      <x:c r="E13" s="40" t="str">
        <x:v>All main and supplementary panels have exact machine-readable provenance.</x:v>
      </x:c>
      <x:c r="F13" s="40" t="str">
        <x:v>In progress</x:v>
      </x:c>
    </x:row>
    <x:row r="14" ht="21.600000381469727" hidden="0" customHeight="1">
      <x:c r="A14" s="40" t="str">
        <x:v>A10</x:v>
      </x:c>
      <x:c r="B14" s="40" t="str">
        <x:v>High</x:v>
      </x:c>
      <x:c r="C14" s="40" t="str">
        <x:v>Prespecification</x:v>
      </x:c>
      <x:c r="D14" s="40" t="str">
        <x:v>Replace unsupported prospective language with a dated analysis chronology and label data-driven refinements.</x:v>
      </x:c>
      <x:c r="E14" s="40" t="str">
        <x:v>Claims match the timestamped audit trail.</x:v>
      </x:c>
      <x:c r="F14" s="40" t="str">
        <x:v>Verified facts available</x:v>
      </x:c>
    </x:row>
    <x:row r="15" ht="21.600000381469727" hidden="0" customHeight="1">
      <x:c r="A15" s="40" t="str">
        <x:v>A11</x:v>
      </x:c>
      <x:c r="B15" s="40" t="str">
        <x:v>High</x:v>
      </x:c>
      <x:c r="C15" s="40" t="str">
        <x:v>Language</x:v>
      </x:c>
      <x:c r="D15" s="40" t="str">
        <x:v>Rewrite after methods freeze using conventional scientific prose and local definitions.</x:v>
      </x:c>
      <x:c r="E15" s="40" t="str">
        <x:v>No repetitive AI-like sentence cadence; independent language audit passes.</x:v>
      </x:c>
      <x:c r="F15" s="40" t="str">
        <x:v>Pending</x:v>
      </x:c>
    </x:row>
    <x:row r="16" ht="21.600000381469727" hidden="0" customHeight="1">
      <x:c r="A16" s="41" t="str">
        <x:v>A12</x:v>
      </x:c>
      <x:c r="B16" s="41" t="str">
        <x:v>High</x:v>
      </x:c>
      <x:c r="C16" s="41" t="str">
        <x:v>Resubmission QA</x:v>
      </x:c>
      <x:c r="D16" s="41" t="str">
        <x:v>Run numerical reconciliation, link checks, manuscript-legend-figure consistency, and clean-environment repository tests.</x:v>
      </x:c>
      <x:c r="E16" s="41" t="str">
        <x:v>All automated and manual checks pass before upload.</x:v>
      </x:c>
      <x:c r="F16" s="41" t="str">
        <x:v>Pending</x:v>
      </x:c>
    </x:row>
  </x:sheetData>
  <x:mergeCells>
    <x:mergeCell ref="A1:F1"/>
    <x:mergeCell ref="A2:F2"/>
  </x:mergeCells>
  <x:pageMargins left="0.7" right="0.7" top="0.75" bottom="0.75" header="0.3" footer="0.3"/>
</x:worksheet>
</file>